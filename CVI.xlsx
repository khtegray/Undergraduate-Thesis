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97a02c3ca801e5/Documents/"/>
    </mc:Choice>
  </mc:AlternateContent>
  <xr:revisionPtr revIDLastSave="618" documentId="8_{ADD02C71-4944-4A8F-B0E6-BE00212843F2}" xr6:coauthVersionLast="47" xr6:coauthVersionMax="47" xr10:uidLastSave="{08ABA162-401F-4F5C-9549-AA42F46B931F}"/>
  <bookViews>
    <workbookView xWindow="-120" yWindow="-120" windowWidth="20730" windowHeight="11760" xr2:uid="{4FA1737D-7E76-4A16-8436-3F94F796C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1" l="1"/>
  <c r="I36" i="1"/>
  <c r="I24" i="1"/>
  <c r="H3" i="1"/>
  <c r="I12" i="1"/>
  <c r="L36" i="1"/>
  <c r="L12" i="1"/>
  <c r="H36" i="1"/>
  <c r="H35" i="1"/>
  <c r="H34" i="1"/>
  <c r="H33" i="1"/>
  <c r="H32" i="1"/>
  <c r="H31" i="1"/>
  <c r="H30" i="1"/>
  <c r="H29" i="1"/>
  <c r="H28" i="1"/>
  <c r="H27" i="1"/>
  <c r="H24" i="1"/>
  <c r="H23" i="1"/>
  <c r="H22" i="1"/>
  <c r="H21" i="1"/>
  <c r="H20" i="1"/>
  <c r="H19" i="1"/>
  <c r="H18" i="1"/>
  <c r="H17" i="1"/>
  <c r="H16" i="1"/>
  <c r="H15" i="1"/>
  <c r="H12" i="1"/>
  <c r="H10" i="1"/>
  <c r="H11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<sst xmlns="http://schemas.openxmlformats.org/spreadsheetml/2006/main" count="64" uniqueCount="44">
  <si>
    <t>AWARENESS</t>
  </si>
  <si>
    <r>
      <t xml:space="preserve">3. Kapag usapin ang pag-iipon at pabahay, ang Pag-IBIG Fund ang  programang aking itinuturing na maaaring magbigay ng mga benepisyong ito.
</t>
    </r>
    <r>
      <rPr>
        <i/>
        <sz val="10"/>
        <color theme="1"/>
        <rFont val="Calibri"/>
        <family val="2"/>
        <scheme val="minor"/>
      </rPr>
      <t>When it comes to savings and housing, I consider the Pag-IBIG Fund as the one that is capable of helping me with these benefits.</t>
    </r>
  </si>
  <si>
    <r>
      <t xml:space="preserve">1. Alam ko ang iba’t ibang benepisyong maaari kong matanggap bilang isang miyembro ng SSS.
</t>
    </r>
    <r>
      <rPr>
        <i/>
        <sz val="10"/>
        <color theme="1"/>
        <rFont val="Calibri"/>
        <family val="2"/>
        <scheme val="minor"/>
      </rPr>
      <t>I know the various benefits I can receive as a member of the SSS.</t>
    </r>
  </si>
  <si>
    <r>
      <t xml:space="preserve">2. Ang PhilHealth ang programang alam kong makatutulong sa akin sa panahon ng pagkakasakit, pagpapa-ospital, o pagpapa check up. 
</t>
    </r>
    <r>
      <rPr>
        <i/>
        <sz val="10"/>
        <color rgb="FF000000"/>
        <rFont val="Calibri"/>
        <family val="2"/>
        <scheme val="minor"/>
      </rPr>
      <t>PhilHealth is a program that I know can help me during times of illness, hospitalization, or medical check-ups.</t>
    </r>
  </si>
  <si>
    <t>VALIDATOR 1</t>
  </si>
  <si>
    <t>VALIDATOR 2</t>
  </si>
  <si>
    <t>VALIDATOR 3</t>
  </si>
  <si>
    <t>VALIDATOR 4</t>
  </si>
  <si>
    <t>VALIDATOR 5</t>
  </si>
  <si>
    <t>Number of Agreements</t>
  </si>
  <si>
    <t>CVR</t>
  </si>
  <si>
    <t>CVI</t>
  </si>
  <si>
    <r>
      <rPr>
        <b/>
        <sz val="12"/>
        <color theme="1"/>
        <rFont val="Calibri"/>
        <family val="2"/>
        <scheme val="minor"/>
      </rPr>
      <t xml:space="preserve">Research Title: </t>
    </r>
    <r>
      <rPr>
        <sz val="12"/>
        <color theme="1"/>
        <rFont val="Calibri"/>
        <family val="2"/>
        <scheme val="minor"/>
      </rPr>
      <t>Access to Social Protection Programs: Awareness and Utilization Among Informal Workers</t>
    </r>
  </si>
  <si>
    <t>ACCESSIBILITY</t>
  </si>
  <si>
    <r>
      <t xml:space="preserve">1. May mga nakalaang lokal na opisina ng mga programang sosyal proteksyon sa aming lugar. 
</t>
    </r>
    <r>
      <rPr>
        <i/>
        <sz val="10"/>
        <color theme="1"/>
        <rFont val="Calibri"/>
        <family val="2"/>
        <scheme val="minor"/>
      </rPr>
      <t>There are designated local offices for social protection programs in our area.</t>
    </r>
  </si>
  <si>
    <r>
      <t xml:space="preserve">2. Maaari kong maabot ang mga lokal na opisina mula sa aming tahanan sa loob ng 30 minuto o mas maikli gamit ang karaniwang transportasyon.
</t>
    </r>
    <r>
      <rPr>
        <i/>
        <sz val="10"/>
        <color rgb="FF000000"/>
        <rFont val="Calibri"/>
        <family val="2"/>
        <scheme val="minor"/>
      </rPr>
      <t>I can reach the local offices from our home within 30 minutes or less using the usual mode of transportation.</t>
    </r>
  </si>
  <si>
    <r>
      <t xml:space="preserve">3. Maaari kong maabot mula sa aming tahanan ang mga lokal na opisina sa pamamagitan ng pampublikong transportasyon.
</t>
    </r>
    <r>
      <rPr>
        <i/>
        <sz val="10"/>
        <color theme="1"/>
        <rFont val="Calibri"/>
        <family val="2"/>
        <scheme val="minor"/>
      </rPr>
      <t>I can reach the local offices from our home through public transportation.</t>
    </r>
  </si>
  <si>
    <r>
      <t xml:space="preserve">4. May kaalaman ako sa proseso sa pagrerehistro sa PhilHealth at ang mga kinakailangang dokumento upang maging ganap na miyembro nito. 
</t>
    </r>
    <r>
      <rPr>
        <i/>
        <sz val="10"/>
        <color theme="1"/>
        <rFont val="Calibri"/>
        <family val="2"/>
        <scheme val="minor"/>
      </rPr>
      <t xml:space="preserve">I am aware of the process and the required documents for registering to become a member of PhilHealth. </t>
    </r>
  </si>
  <si>
    <r>
      <t xml:space="preserve">5. Alam ko na ang pagiging miyembro ng SSS ay maaaring para sa mga self-employed, employed, o voluntary members. 
</t>
    </r>
    <r>
      <rPr>
        <i/>
        <sz val="10"/>
        <color theme="1"/>
        <rFont val="Calibri"/>
        <family val="2"/>
        <scheme val="minor"/>
      </rPr>
      <t>I am aware that SSS membership can be for self-employed individuals, employed individuals, or voluntary members.</t>
    </r>
  </si>
  <si>
    <r>
      <t xml:space="preserve">6. Alam ko ang kinakailangang dokumento para maging miyembro ng Pag-IBIG Fund at mga benepisyo nito.  
</t>
    </r>
    <r>
      <rPr>
        <i/>
        <sz val="10"/>
        <color theme="1"/>
        <rFont val="Calibri"/>
        <family val="2"/>
        <scheme val="minor"/>
      </rPr>
      <t>I can identify the required documents to become eligible for Pag-IBIG Fund membership and benefits.</t>
    </r>
  </si>
  <si>
    <r>
      <t xml:space="preserve">7. Alam ko ang sunod-sunod na proseso na kinakailangan kapag magpapa rehistro sa SSS o katulad na programa (PhilHealth/Pag-IBIG Fund).
</t>
    </r>
    <r>
      <rPr>
        <i/>
        <sz val="10"/>
        <color theme="1"/>
        <rFont val="Calibri"/>
        <family val="2"/>
        <scheme val="minor"/>
      </rPr>
      <t>I am aware of the step-by-step procedures when registering to the SSS or a similar social protection program (PhilHealth/Pag-IBIG Fund).</t>
    </r>
  </si>
  <si>
    <r>
      <t xml:space="preserve">8. Alam ko kung paano ako maaaring magbayad ng buwanang kontribusyon ng alinman sa mga programang  SSS, PhilHealth, at Pag-IBIG Fund. 
</t>
    </r>
    <r>
      <rPr>
        <i/>
        <sz val="10"/>
        <color theme="1"/>
        <rFont val="Calibri"/>
        <family val="2"/>
        <scheme val="minor"/>
      </rPr>
      <t>I know how I can pay my monthly contributions to any of the SSS, PhilHealth, or Pag-IBIG Fund programs.</t>
    </r>
  </si>
  <si>
    <r>
      <t xml:space="preserve">9. Alam ko na hindi kinakailangang maghulog ng kontribusyon upang magamit ang mga benepisyong binibigay ng PhilHealth.
</t>
    </r>
    <r>
      <rPr>
        <i/>
        <sz val="10"/>
        <color theme="1"/>
        <rFont val="Calibri"/>
        <family val="2"/>
        <scheme val="minor"/>
      </rPr>
      <t>I know that paying for contributions is not a requirement in order to use PhilHealth.</t>
    </r>
  </si>
  <si>
    <r>
      <t xml:space="preserve">10. Batid ko na ang pagiging kwalipikado sa benepisyo ng SSS o Pag-IBIG ay nakadepende sa pagiging miyembro at sa hulog na kontribusyon. 
</t>
    </r>
    <r>
      <rPr>
        <i/>
        <sz val="10"/>
        <color theme="1"/>
        <rFont val="Calibri"/>
        <family val="2"/>
        <scheme val="minor"/>
      </rPr>
      <t>I am aware that eligibility for SSS or Pag-IBIG Fund depends on membership status and the payment of contributions.</t>
    </r>
  </si>
  <si>
    <r>
      <t xml:space="preserve">4. Madali kong naiintindihan at nasusundan ang proseso ng pagrerehistro.
</t>
    </r>
    <r>
      <rPr>
        <i/>
        <sz val="10"/>
        <color theme="1"/>
        <rFont val="Calibri"/>
        <family val="2"/>
        <scheme val="minor"/>
      </rPr>
      <t>I find the process for registration simple and easy to follow.</t>
    </r>
  </si>
  <si>
    <r>
      <t xml:space="preserve">5. Madaling kumpletuhin ang mga kinakailangang dokumento para sa proseso ng pagrerehistro.
</t>
    </r>
    <r>
      <rPr>
        <i/>
        <sz val="10"/>
        <color theme="1"/>
        <rFont val="Calibri"/>
        <family val="2"/>
        <scheme val="minor"/>
      </rPr>
      <t>It is easy to complete the documentary requirements for the registration process.</t>
    </r>
  </si>
  <si>
    <r>
      <t xml:space="preserve">6. Batay sa aking karanasan, masasabi kong makatwiran ang tagal ng proseso ng pagrerehistro.
</t>
    </r>
    <r>
      <rPr>
        <i/>
        <sz val="10"/>
        <color theme="1"/>
        <rFont val="Calibri"/>
        <family val="2"/>
        <scheme val="minor"/>
      </rPr>
      <t>Based on my experience, I can say that the duration of the registration process is reasonable.</t>
    </r>
  </si>
  <si>
    <r>
      <t xml:space="preserve">7. Madali kong nakukuha ang impormasyon tungkol sa mga serbisyo at benepisyo sa pamamagitan ng mga pisikal na materyales.
</t>
    </r>
    <r>
      <rPr>
        <i/>
        <sz val="10"/>
        <color theme="1"/>
        <rFont val="Calibri"/>
        <family val="2"/>
        <scheme val="minor"/>
      </rPr>
      <t>I can easily obtain information about services and benefits through physical materials.</t>
    </r>
  </si>
  <si>
    <r>
      <t xml:space="preserve">8. Madali kong naa-access ang impormasyon tungkol sa mga serbisyo at benepisyo sa pamamagitan ng mga digital na pamamaraan.
</t>
    </r>
    <r>
      <rPr>
        <i/>
        <sz val="10"/>
        <color theme="1"/>
        <rFont val="Calibri"/>
        <family val="2"/>
        <scheme val="minor"/>
      </rPr>
      <t>I can easily access information about services and benefits through digital means.</t>
    </r>
  </si>
  <si>
    <r>
      <t xml:space="preserve">9. Ang mga impormasyon na ibinabahagi sa pamamagitan ng iba't ibang pamamaraan ay sapat at naaayon sa aking pangangailangan.
</t>
    </r>
    <r>
      <rPr>
        <i/>
        <sz val="10"/>
        <color theme="1"/>
        <rFont val="Calibri"/>
        <family val="2"/>
        <scheme val="minor"/>
      </rPr>
      <t>The information shared through various methods is sufficient and meets my needs.</t>
    </r>
  </si>
  <si>
    <r>
      <t xml:space="preserve">10. Madali kong nalalaman kung may mga pagbabago sa proseso o mga kinakailangang dokumento.
</t>
    </r>
    <r>
      <rPr>
        <i/>
        <sz val="10"/>
        <color theme="1"/>
        <rFont val="Calibri"/>
        <family val="2"/>
        <scheme val="minor"/>
      </rPr>
      <t>I can easily know if there is an update in the process or any requirements.</t>
    </r>
  </si>
  <si>
    <t>UTILIZATION</t>
  </si>
  <si>
    <r>
      <t xml:space="preserve">1. Nakagamit na ako ng mga benepisyo mula sa SSS kapag nangangailangan ako ng tulong pinansyal.
</t>
    </r>
    <r>
      <rPr>
        <i/>
        <sz val="10"/>
        <color theme="1"/>
        <rFont val="Calibri"/>
        <family val="2"/>
        <scheme val="minor"/>
      </rPr>
      <t>I have availed of benefits from the SSS when I needed financial assistance.</t>
    </r>
  </si>
  <si>
    <r>
      <t xml:space="preserve">2. Nakagamit na ako ng mga benepisyo mula sa PhilHealth kapag ako ay nagpapagamot o naospital.
</t>
    </r>
    <r>
      <rPr>
        <i/>
        <sz val="10"/>
        <color rgb="FF000000"/>
        <rFont val="Calibri"/>
        <family val="2"/>
        <scheme val="minor"/>
      </rPr>
      <t>I have availed of benefits from PhilHealth when I sought medical treatment or was hospitalized.</t>
    </r>
  </si>
  <si>
    <r>
      <t xml:space="preserve">3. Nakagamit na ako ng loan mula sa Pag-IBIG Fund kapag nangangailangan ako ng pabahay o tulong pinansyal para sa bahay.
</t>
    </r>
    <r>
      <rPr>
        <i/>
        <sz val="10"/>
        <color theme="1"/>
        <rFont val="Calibri"/>
        <family val="2"/>
        <scheme val="minor"/>
      </rPr>
      <t>I have availed of a loan from the Pag-IBIG Fund when I needed housing or financial assistance for my home.</t>
    </r>
  </si>
  <si>
    <r>
      <t xml:space="preserve">4. Sa nakaraang anim na buwan, regular akong nakapagbayad ng kontribusyon sa alinman sa SSS, PhilHealth, o Pag-IBIG Fund.
</t>
    </r>
    <r>
      <rPr>
        <i/>
        <sz val="10"/>
        <color theme="1"/>
        <rFont val="Calibri"/>
        <family val="2"/>
        <scheme val="minor"/>
      </rPr>
      <t>In the past six months, I have regularly paid contributions to SSS, PhilHealth, or the Pag-IBIG Fund.</t>
    </r>
  </si>
  <si>
    <r>
      <t xml:space="preserve">5. Sa kabila ng kawalan ng katiyakan sa trabaho, ipinagpapatuloy ko ang aking aktibong pakikilahok sa mga programang sosyal proteksyon.
</t>
    </r>
    <r>
      <rPr>
        <i/>
        <sz val="10"/>
        <color theme="1"/>
        <rFont val="Calibri"/>
        <family val="2"/>
        <scheme val="minor"/>
      </rPr>
      <t>Despite employment instability, I continue my active participation in social protection programs.</t>
    </r>
  </si>
  <si>
    <r>
      <t xml:space="preserve">6. Sa panahon ng biglaang gastusin, umaasa ako sa mga programang sosyal proteksyon.
</t>
    </r>
    <r>
      <rPr>
        <i/>
        <sz val="10"/>
        <color theme="1"/>
        <rFont val="Calibri"/>
        <family val="2"/>
        <scheme val="minor"/>
      </rPr>
      <t>During unexpected expenses, I rely on social protection programs.</t>
    </r>
  </si>
  <si>
    <r>
      <t>7. Nakaranas ako ng aktwal na pakinabang mula sa mga programang sosyal proteksyon.</t>
    </r>
    <r>
      <rPr>
        <i/>
        <sz val="10"/>
        <color theme="1"/>
        <rFont val="Calibri"/>
        <family val="2"/>
        <scheme val="minor"/>
      </rPr>
      <t xml:space="preserve">
I experience actual benefits from social protection programs.</t>
    </r>
  </si>
  <si>
    <r>
      <t xml:space="preserve">8. Ang mga benepisyo ng mga programang sosyal proteksyon ay nakatutugon sa aking pangangailangan bilang isang benepisyaryo/miyembro.
</t>
    </r>
    <r>
      <rPr>
        <i/>
        <sz val="10"/>
        <color theme="1"/>
        <rFont val="Calibri"/>
        <family val="2"/>
        <scheme val="minor"/>
      </rPr>
      <t>The benefits provided by social protection programs meet my needs as a beneficiary/member.</t>
    </r>
  </si>
  <si>
    <r>
      <t xml:space="preserve">9. Bilang impormal na manggagawa, nakatutulong ang mga programang sosyal proteksyon sa pagbawas ng aking pasaning pinansyal.
</t>
    </r>
    <r>
      <rPr>
        <i/>
        <sz val="10"/>
        <color theme="1"/>
        <rFont val="Calibri"/>
        <family val="2"/>
        <scheme val="minor"/>
      </rPr>
      <t>As an informal worker, social protection programs help lessen my financial burden.</t>
    </r>
  </si>
  <si>
    <r>
      <t xml:space="preserve">10. Mas naging mabuti ang aking pamamahala sa aking pera kumpara noong hindi pa ako kasapi ng mga programang sosyal proteksyon.
</t>
    </r>
    <r>
      <rPr>
        <i/>
        <sz val="10"/>
        <color theme="1"/>
        <rFont val="Calibri"/>
        <family val="2"/>
        <scheme val="minor"/>
      </rPr>
      <t>My management of my money improved compared to when I was not yet a member of social protection programs.</t>
    </r>
  </si>
  <si>
    <t>I-CVI</t>
  </si>
  <si>
    <t>S-CVI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</si>
</sst>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B5A6-4AB2-4100-B4F2-C9515C70BD55}">
  <dimension ref="A1:L36"/>
  <sheetViews>
    <sheetView tabSelected="1" topLeftCell="A24" zoomScale="60" zoomScaleNormal="60" workbookViewId="0">
      <selection activeCell="O20" sqref="O20"/>
    </sheetView>
  </sheetViews>
  <sheetFormatPr defaultRowHeight="15" x14ac:dyDescent="0.25"/>
  <cols>
    <col min="1" max="1" width="68.5703125" customWidth="1"/>
    <col min="2" max="2" width="13" customWidth="1"/>
    <col min="3" max="3" width="12.28515625" customWidth="1"/>
    <col min="4" max="5" width="12.42578125" customWidth="1"/>
    <col min="6" max="6" width="12.28515625" customWidth="1"/>
    <col min="7" max="7" width="22.28515625" customWidth="1"/>
  </cols>
  <sheetData>
    <row r="1" spans="1:12" ht="15.75" x14ac:dyDescent="0.25">
      <c r="A1" s="1" t="s">
        <v>12</v>
      </c>
    </row>
    <row r="2" spans="1:12" x14ac:dyDescent="0.25">
      <c r="A2" s="3" t="s">
        <v>0</v>
      </c>
      <c r="B2" s="3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5" t="s">
        <v>9</v>
      </c>
      <c r="H2" s="6" t="s">
        <v>10</v>
      </c>
      <c r="K2" s="3" t="s">
        <v>42</v>
      </c>
      <c r="L2" s="14"/>
    </row>
    <row r="3" spans="1:12" ht="43.5" x14ac:dyDescent="0.25">
      <c r="A3" s="7" t="s">
        <v>2</v>
      </c>
      <c r="B3" s="8">
        <v>4</v>
      </c>
      <c r="C3" s="8">
        <v>4</v>
      </c>
      <c r="D3" s="8">
        <v>4</v>
      </c>
      <c r="E3" s="9">
        <v>4</v>
      </c>
      <c r="F3" s="9">
        <v>4</v>
      </c>
      <c r="G3" s="9">
        <v>5</v>
      </c>
      <c r="H3" s="9">
        <f>(G3-(5/2))/(5/2)</f>
        <v>1</v>
      </c>
      <c r="K3" s="9">
        <v>1</v>
      </c>
      <c r="L3" s="15"/>
    </row>
    <row r="4" spans="1:12" ht="55.5" x14ac:dyDescent="0.25">
      <c r="A4" s="10" t="s">
        <v>3</v>
      </c>
      <c r="B4" s="9">
        <v>4</v>
      </c>
      <c r="C4" s="9">
        <v>4</v>
      </c>
      <c r="D4" s="8">
        <v>4</v>
      </c>
      <c r="E4" s="9">
        <v>4</v>
      </c>
      <c r="F4" s="9">
        <v>4</v>
      </c>
      <c r="G4" s="9">
        <v>5</v>
      </c>
      <c r="H4" s="9">
        <f t="shared" ref="H4:H5" si="0">(G4-(5/2))/(5/2)</f>
        <v>1</v>
      </c>
      <c r="K4" s="9">
        <v>1</v>
      </c>
      <c r="L4" s="15"/>
    </row>
    <row r="5" spans="1:12" ht="70.5" x14ac:dyDescent="0.25">
      <c r="A5" s="11" t="s">
        <v>1</v>
      </c>
      <c r="B5" s="9">
        <v>4</v>
      </c>
      <c r="C5" s="9">
        <v>4</v>
      </c>
      <c r="D5" s="9">
        <v>4</v>
      </c>
      <c r="E5" s="9">
        <v>4</v>
      </c>
      <c r="F5" s="9">
        <v>4</v>
      </c>
      <c r="G5" s="9">
        <v>5</v>
      </c>
      <c r="H5" s="9">
        <f t="shared" si="0"/>
        <v>1</v>
      </c>
      <c r="K5" s="9">
        <v>1</v>
      </c>
      <c r="L5" s="15"/>
    </row>
    <row r="6" spans="1:12" ht="56.25" x14ac:dyDescent="0.25">
      <c r="A6" s="7" t="s">
        <v>17</v>
      </c>
      <c r="B6" s="9">
        <v>4</v>
      </c>
      <c r="C6" s="9">
        <v>4</v>
      </c>
      <c r="D6" s="9">
        <v>4</v>
      </c>
      <c r="E6" s="9">
        <v>4</v>
      </c>
      <c r="F6" s="9">
        <v>4</v>
      </c>
      <c r="G6" s="9">
        <v>5</v>
      </c>
      <c r="H6" s="9">
        <f>(G6-(5/2))/(5/2)</f>
        <v>1</v>
      </c>
      <c r="K6" s="9">
        <v>1</v>
      </c>
      <c r="L6" s="15"/>
    </row>
    <row r="7" spans="1:12" ht="56.25" x14ac:dyDescent="0.25">
      <c r="A7" s="7" t="s">
        <v>18</v>
      </c>
      <c r="B7" s="9">
        <v>4</v>
      </c>
      <c r="C7" s="9">
        <v>4</v>
      </c>
      <c r="D7" s="9">
        <v>4</v>
      </c>
      <c r="E7" s="9">
        <v>4</v>
      </c>
      <c r="F7" s="9">
        <v>4</v>
      </c>
      <c r="G7" s="9">
        <v>5</v>
      </c>
      <c r="H7" s="9">
        <f t="shared" ref="H7" si="1">(G7-(5/2))/(5/2)</f>
        <v>1</v>
      </c>
      <c r="K7" s="9">
        <v>1</v>
      </c>
      <c r="L7" s="15"/>
    </row>
    <row r="8" spans="1:12" ht="56.25" x14ac:dyDescent="0.25">
      <c r="A8" s="7" t="s">
        <v>19</v>
      </c>
      <c r="B8" s="9">
        <v>4</v>
      </c>
      <c r="C8" s="9">
        <v>3</v>
      </c>
      <c r="D8" s="9">
        <v>4</v>
      </c>
      <c r="E8" s="9">
        <v>4</v>
      </c>
      <c r="F8" s="9">
        <v>4</v>
      </c>
      <c r="G8" s="9">
        <v>5</v>
      </c>
      <c r="H8" s="9">
        <f>(G8-(5/2))/(5/2)</f>
        <v>1</v>
      </c>
      <c r="K8" s="9">
        <v>1</v>
      </c>
      <c r="L8" s="15"/>
    </row>
    <row r="9" spans="1:12" ht="56.25" x14ac:dyDescent="0.25">
      <c r="A9" s="7" t="s">
        <v>20</v>
      </c>
      <c r="B9" s="9">
        <v>4</v>
      </c>
      <c r="C9" s="9">
        <v>4</v>
      </c>
      <c r="D9" s="9">
        <v>4</v>
      </c>
      <c r="E9" s="9">
        <v>4</v>
      </c>
      <c r="F9" s="9">
        <v>3</v>
      </c>
      <c r="G9" s="9">
        <v>5</v>
      </c>
      <c r="H9" s="9">
        <f>(G9-(5/2))/(5/2)</f>
        <v>1</v>
      </c>
      <c r="K9" s="9">
        <v>1</v>
      </c>
      <c r="L9" s="15"/>
    </row>
    <row r="10" spans="1:12" ht="56.25" x14ac:dyDescent="0.25">
      <c r="A10" s="7" t="s">
        <v>21</v>
      </c>
      <c r="B10" s="9">
        <v>4</v>
      </c>
      <c r="C10" s="9">
        <v>4</v>
      </c>
      <c r="D10" s="9">
        <v>4</v>
      </c>
      <c r="E10" s="9">
        <v>4</v>
      </c>
      <c r="F10" s="9">
        <v>3</v>
      </c>
      <c r="G10" s="9">
        <v>5</v>
      </c>
      <c r="H10" s="9">
        <f t="shared" ref="H10:H11" si="2">(G10-(5/2))/(5/2)</f>
        <v>1</v>
      </c>
      <c r="K10" s="9">
        <v>1</v>
      </c>
      <c r="L10" s="15"/>
    </row>
    <row r="11" spans="1:12" ht="43.5" x14ac:dyDescent="0.25">
      <c r="A11" s="7" t="s">
        <v>22</v>
      </c>
      <c r="B11" s="9">
        <v>4</v>
      </c>
      <c r="C11" s="9">
        <v>4</v>
      </c>
      <c r="D11" s="9">
        <v>4</v>
      </c>
      <c r="E11" s="9">
        <v>4</v>
      </c>
      <c r="F11" s="9">
        <v>4</v>
      </c>
      <c r="G11" s="9">
        <v>5</v>
      </c>
      <c r="H11" s="9">
        <f t="shared" si="2"/>
        <v>1</v>
      </c>
      <c r="I11" s="12" t="s">
        <v>11</v>
      </c>
      <c r="K11" s="9">
        <v>1</v>
      </c>
      <c r="L11" s="19" t="s">
        <v>43</v>
      </c>
    </row>
    <row r="12" spans="1:12" ht="56.25" x14ac:dyDescent="0.25">
      <c r="A12" s="7" t="s">
        <v>23</v>
      </c>
      <c r="B12" s="9">
        <v>4</v>
      </c>
      <c r="C12" s="9">
        <v>3</v>
      </c>
      <c r="D12" s="9">
        <v>4</v>
      </c>
      <c r="E12" s="9">
        <v>4</v>
      </c>
      <c r="F12" s="9">
        <v>3</v>
      </c>
      <c r="G12" s="9">
        <v>5</v>
      </c>
      <c r="H12" s="9">
        <f>(G12-(5/2))/(5/2)</f>
        <v>1</v>
      </c>
      <c r="I12" s="9">
        <f>AVERAGE(H3:H12)</f>
        <v>1</v>
      </c>
      <c r="K12" s="9">
        <v>1</v>
      </c>
      <c r="L12" s="18">
        <f>AVERAGE(K3:K12)</f>
        <v>1</v>
      </c>
    </row>
    <row r="13" spans="1:12" x14ac:dyDescent="0.25">
      <c r="B13" s="2"/>
      <c r="C13" s="2"/>
      <c r="D13" s="2"/>
      <c r="E13" s="2"/>
      <c r="F13" s="2"/>
      <c r="G13" s="2"/>
      <c r="H13" s="2"/>
      <c r="K13" s="15"/>
      <c r="L13" s="15"/>
    </row>
    <row r="14" spans="1:12" x14ac:dyDescent="0.25">
      <c r="A14" s="3" t="s">
        <v>13</v>
      </c>
      <c r="B14" s="3" t="s">
        <v>4</v>
      </c>
      <c r="C14" s="4" t="s">
        <v>5</v>
      </c>
      <c r="D14" s="4" t="s">
        <v>6</v>
      </c>
      <c r="E14" s="4" t="s">
        <v>7</v>
      </c>
      <c r="F14" s="4" t="s">
        <v>8</v>
      </c>
      <c r="G14" s="5" t="s">
        <v>9</v>
      </c>
      <c r="H14" s="6" t="s">
        <v>10</v>
      </c>
      <c r="K14" s="16" t="s">
        <v>42</v>
      </c>
      <c r="L14" s="17"/>
    </row>
    <row r="15" spans="1:12" ht="42.75" x14ac:dyDescent="0.25">
      <c r="A15" s="13" t="s">
        <v>14</v>
      </c>
      <c r="B15" s="8">
        <v>4</v>
      </c>
      <c r="C15" s="8">
        <v>4</v>
      </c>
      <c r="D15" s="8">
        <v>4</v>
      </c>
      <c r="E15" s="8">
        <v>4</v>
      </c>
      <c r="F15" s="8">
        <v>4</v>
      </c>
      <c r="G15" s="8">
        <v>5</v>
      </c>
      <c r="H15" s="9">
        <f>(G15-(5/2))/(5/2)</f>
        <v>1</v>
      </c>
      <c r="K15" s="9">
        <v>1</v>
      </c>
      <c r="L15" s="15"/>
    </row>
    <row r="16" spans="1:12" ht="55.5" x14ac:dyDescent="0.25">
      <c r="A16" s="10" t="s">
        <v>15</v>
      </c>
      <c r="B16" s="9">
        <v>4</v>
      </c>
      <c r="C16" s="9">
        <v>4</v>
      </c>
      <c r="D16" s="8">
        <v>4</v>
      </c>
      <c r="E16" s="9">
        <v>4</v>
      </c>
      <c r="F16" s="9">
        <v>4</v>
      </c>
      <c r="G16" s="9">
        <v>5</v>
      </c>
      <c r="H16" s="9">
        <f t="shared" ref="H16:H17" si="3">(G16-(5/2))/(5/2)</f>
        <v>1</v>
      </c>
      <c r="K16" s="9">
        <v>1</v>
      </c>
      <c r="L16" s="15"/>
    </row>
    <row r="17" spans="1:12" ht="42.75" x14ac:dyDescent="0.25">
      <c r="A17" s="13" t="s">
        <v>16</v>
      </c>
      <c r="B17" s="9">
        <v>4</v>
      </c>
      <c r="C17" s="9">
        <v>4</v>
      </c>
      <c r="D17" s="9">
        <v>4</v>
      </c>
      <c r="E17" s="9">
        <v>4</v>
      </c>
      <c r="F17" s="9">
        <v>4</v>
      </c>
      <c r="G17" s="9">
        <v>5</v>
      </c>
      <c r="H17" s="9">
        <f t="shared" si="3"/>
        <v>1</v>
      </c>
      <c r="K17" s="9">
        <v>1</v>
      </c>
      <c r="L17" s="15"/>
    </row>
    <row r="18" spans="1:12" ht="28.5" x14ac:dyDescent="0.25">
      <c r="A18" s="7" t="s">
        <v>24</v>
      </c>
      <c r="B18" s="9">
        <v>4</v>
      </c>
      <c r="C18" s="9">
        <v>4</v>
      </c>
      <c r="D18" s="9">
        <v>4</v>
      </c>
      <c r="E18" s="9">
        <v>4</v>
      </c>
      <c r="F18" s="9">
        <v>2</v>
      </c>
      <c r="G18" s="9">
        <v>4</v>
      </c>
      <c r="H18" s="9">
        <f>(G18-(5/2))/(5/2)</f>
        <v>0.6</v>
      </c>
      <c r="K18" s="9">
        <v>0.8</v>
      </c>
      <c r="L18" s="15"/>
    </row>
    <row r="19" spans="1:12" ht="43.5" x14ac:dyDescent="0.25">
      <c r="A19" s="7" t="s">
        <v>25</v>
      </c>
      <c r="B19" s="9">
        <v>4</v>
      </c>
      <c r="C19" s="9">
        <v>4</v>
      </c>
      <c r="D19" s="9">
        <v>4</v>
      </c>
      <c r="E19" s="9">
        <v>4</v>
      </c>
      <c r="F19" s="9">
        <v>2</v>
      </c>
      <c r="G19" s="9">
        <v>4</v>
      </c>
      <c r="H19" s="9">
        <f t="shared" ref="H19" si="4">(G19-(5/2))/(5/2)</f>
        <v>0.6</v>
      </c>
      <c r="K19" s="9">
        <v>0.8</v>
      </c>
      <c r="L19" s="15"/>
    </row>
    <row r="20" spans="1:12" ht="56.25" x14ac:dyDescent="0.25">
      <c r="A20" s="7" t="s">
        <v>26</v>
      </c>
      <c r="B20" s="9">
        <v>4</v>
      </c>
      <c r="C20" s="9">
        <v>4</v>
      </c>
      <c r="D20" s="9">
        <v>4</v>
      </c>
      <c r="E20" s="9">
        <v>4</v>
      </c>
      <c r="F20" s="9">
        <v>2</v>
      </c>
      <c r="G20" s="9">
        <v>4</v>
      </c>
      <c r="H20" s="9">
        <f>(G20-(5/2))/(5/2)</f>
        <v>0.6</v>
      </c>
      <c r="K20" s="9">
        <v>0.8</v>
      </c>
      <c r="L20" s="15"/>
    </row>
    <row r="21" spans="1:12" ht="42.75" x14ac:dyDescent="0.25">
      <c r="A21" s="13" t="s">
        <v>27</v>
      </c>
      <c r="B21" s="9">
        <v>4</v>
      </c>
      <c r="C21" s="9">
        <v>4</v>
      </c>
      <c r="D21" s="9">
        <v>4</v>
      </c>
      <c r="E21" s="9">
        <v>4</v>
      </c>
      <c r="F21" s="9">
        <v>3</v>
      </c>
      <c r="G21" s="9">
        <v>5</v>
      </c>
      <c r="H21" s="9">
        <f>(G21-(5/2))/(5/2)</f>
        <v>1</v>
      </c>
      <c r="K21" s="9">
        <v>1</v>
      </c>
      <c r="L21" s="15"/>
    </row>
    <row r="22" spans="1:12" ht="43.5" x14ac:dyDescent="0.25">
      <c r="A22" s="7" t="s">
        <v>28</v>
      </c>
      <c r="B22" s="9">
        <v>4</v>
      </c>
      <c r="C22" s="9">
        <v>4</v>
      </c>
      <c r="D22" s="9">
        <v>4</v>
      </c>
      <c r="E22" s="9">
        <v>4</v>
      </c>
      <c r="F22" s="9">
        <v>3</v>
      </c>
      <c r="G22" s="9">
        <v>5</v>
      </c>
      <c r="H22" s="9">
        <f t="shared" ref="H22:H23" si="5">(G22-(5/2))/(5/2)</f>
        <v>1</v>
      </c>
      <c r="K22" s="9">
        <v>1</v>
      </c>
      <c r="L22" s="15"/>
    </row>
    <row r="23" spans="1:12" ht="43.5" x14ac:dyDescent="0.25">
      <c r="A23" s="7" t="s">
        <v>29</v>
      </c>
      <c r="B23" s="9">
        <v>4</v>
      </c>
      <c r="C23" s="9">
        <v>4</v>
      </c>
      <c r="D23" s="9">
        <v>4</v>
      </c>
      <c r="E23" s="9">
        <v>4</v>
      </c>
      <c r="F23" s="9">
        <v>3</v>
      </c>
      <c r="G23" s="9">
        <v>5</v>
      </c>
      <c r="H23" s="9">
        <f t="shared" si="5"/>
        <v>1</v>
      </c>
      <c r="I23" s="12" t="s">
        <v>11</v>
      </c>
      <c r="K23" s="9">
        <v>1</v>
      </c>
      <c r="L23" s="19" t="s">
        <v>43</v>
      </c>
    </row>
    <row r="24" spans="1:12" ht="43.5" x14ac:dyDescent="0.25">
      <c r="A24" s="7" t="s">
        <v>30</v>
      </c>
      <c r="B24" s="9">
        <v>4</v>
      </c>
      <c r="C24" s="9">
        <v>4</v>
      </c>
      <c r="D24" s="9">
        <v>4</v>
      </c>
      <c r="E24" s="9">
        <v>4</v>
      </c>
      <c r="F24" s="9">
        <v>3</v>
      </c>
      <c r="G24" s="9">
        <v>5</v>
      </c>
      <c r="H24" s="9">
        <f>(G24-(5/2))/(5/2)</f>
        <v>1</v>
      </c>
      <c r="I24" s="9">
        <f>AVERAGE(H15:H24)</f>
        <v>0.88000000000000012</v>
      </c>
      <c r="K24" s="9">
        <v>1</v>
      </c>
      <c r="L24" s="18">
        <f>AVERAGE(K15:K24)</f>
        <v>0.93999999999999984</v>
      </c>
    </row>
    <row r="25" spans="1:12" x14ac:dyDescent="0.25">
      <c r="K25" s="15"/>
      <c r="L25" s="15"/>
    </row>
    <row r="26" spans="1:12" x14ac:dyDescent="0.25">
      <c r="A26" s="3" t="s">
        <v>31</v>
      </c>
      <c r="B26" s="3" t="s">
        <v>4</v>
      </c>
      <c r="C26" s="4" t="s">
        <v>5</v>
      </c>
      <c r="D26" s="4" t="s">
        <v>6</v>
      </c>
      <c r="E26" s="4" t="s">
        <v>7</v>
      </c>
      <c r="F26" s="4" t="s">
        <v>8</v>
      </c>
      <c r="G26" s="5" t="s">
        <v>9</v>
      </c>
      <c r="H26" s="6" t="s">
        <v>10</v>
      </c>
      <c r="K26" s="16" t="s">
        <v>42</v>
      </c>
      <c r="L26" s="17"/>
    </row>
    <row r="27" spans="1:12" ht="43.5" x14ac:dyDescent="0.25">
      <c r="A27" s="7" t="s">
        <v>32</v>
      </c>
      <c r="B27" s="8">
        <v>4</v>
      </c>
      <c r="C27" s="8">
        <v>4</v>
      </c>
      <c r="D27" s="8">
        <v>4</v>
      </c>
      <c r="E27" s="9">
        <v>4</v>
      </c>
      <c r="F27" s="9">
        <v>4</v>
      </c>
      <c r="G27" s="9">
        <v>5</v>
      </c>
      <c r="H27" s="9">
        <f>(G27-(5/2))/(5/2)</f>
        <v>1</v>
      </c>
      <c r="K27" s="9">
        <v>1</v>
      </c>
      <c r="L27" s="15"/>
    </row>
    <row r="28" spans="1:12" ht="55.5" x14ac:dyDescent="0.25">
      <c r="A28" s="10" t="s">
        <v>33</v>
      </c>
      <c r="B28" s="9">
        <v>4</v>
      </c>
      <c r="C28" s="9">
        <v>4</v>
      </c>
      <c r="D28" s="8">
        <v>4</v>
      </c>
      <c r="E28" s="9">
        <v>3</v>
      </c>
      <c r="F28" s="9">
        <v>4</v>
      </c>
      <c r="G28" s="9">
        <v>5</v>
      </c>
      <c r="H28" s="9">
        <f t="shared" ref="H28:H29" si="6">(G28-(5/2))/(5/2)</f>
        <v>1</v>
      </c>
      <c r="K28" s="9">
        <v>1</v>
      </c>
      <c r="L28" s="15"/>
    </row>
    <row r="29" spans="1:12" ht="55.5" x14ac:dyDescent="0.25">
      <c r="A29" s="13" t="s">
        <v>34</v>
      </c>
      <c r="B29" s="9">
        <v>4</v>
      </c>
      <c r="C29" s="9">
        <v>3</v>
      </c>
      <c r="D29" s="9">
        <v>4</v>
      </c>
      <c r="E29" s="9">
        <v>4</v>
      </c>
      <c r="F29" s="9">
        <v>4</v>
      </c>
      <c r="G29" s="9">
        <v>5</v>
      </c>
      <c r="H29" s="9">
        <f t="shared" si="6"/>
        <v>1</v>
      </c>
      <c r="K29" s="9">
        <v>1</v>
      </c>
      <c r="L29" s="15"/>
    </row>
    <row r="30" spans="1:12" ht="56.25" x14ac:dyDescent="0.25">
      <c r="A30" s="7" t="s">
        <v>35</v>
      </c>
      <c r="B30" s="9">
        <v>4</v>
      </c>
      <c r="C30" s="9">
        <v>3</v>
      </c>
      <c r="D30" s="9">
        <v>4</v>
      </c>
      <c r="E30" s="9">
        <v>4</v>
      </c>
      <c r="F30" s="9">
        <v>4</v>
      </c>
      <c r="G30" s="9">
        <v>5</v>
      </c>
      <c r="H30" s="9">
        <f>(G30-(5/2))/(5/2)</f>
        <v>1</v>
      </c>
      <c r="K30" s="9">
        <v>1</v>
      </c>
      <c r="L30" s="15"/>
    </row>
    <row r="31" spans="1:12" ht="56.25" x14ac:dyDescent="0.25">
      <c r="A31" s="7" t="s">
        <v>36</v>
      </c>
      <c r="B31" s="9">
        <v>4</v>
      </c>
      <c r="C31" s="9">
        <v>4</v>
      </c>
      <c r="D31" s="9">
        <v>4</v>
      </c>
      <c r="E31" s="9">
        <v>4</v>
      </c>
      <c r="F31" s="9">
        <v>4</v>
      </c>
      <c r="G31" s="9">
        <v>5</v>
      </c>
      <c r="H31" s="9">
        <f t="shared" ref="H31" si="7">(G31-(5/2))/(5/2)</f>
        <v>1</v>
      </c>
      <c r="K31" s="9">
        <v>1</v>
      </c>
      <c r="L31" s="15"/>
    </row>
    <row r="32" spans="1:12" ht="43.5" x14ac:dyDescent="0.25">
      <c r="A32" s="7" t="s">
        <v>37</v>
      </c>
      <c r="B32" s="9">
        <v>4</v>
      </c>
      <c r="C32" s="9">
        <v>4</v>
      </c>
      <c r="D32" s="9">
        <v>4</v>
      </c>
      <c r="E32" s="9">
        <v>4</v>
      </c>
      <c r="F32" s="9">
        <v>4</v>
      </c>
      <c r="G32" s="9">
        <v>5</v>
      </c>
      <c r="H32" s="9">
        <f>(G32-(5/2))/(5/2)</f>
        <v>1</v>
      </c>
      <c r="K32" s="9">
        <v>1</v>
      </c>
      <c r="L32" s="15"/>
    </row>
    <row r="33" spans="1:12" ht="43.5" x14ac:dyDescent="0.25">
      <c r="A33" s="7" t="s">
        <v>38</v>
      </c>
      <c r="B33" s="9">
        <v>4</v>
      </c>
      <c r="C33" s="9">
        <v>4</v>
      </c>
      <c r="D33" s="9">
        <v>4</v>
      </c>
      <c r="E33" s="9">
        <v>4</v>
      </c>
      <c r="F33" s="9">
        <v>4</v>
      </c>
      <c r="G33" s="9">
        <v>5</v>
      </c>
      <c r="H33" s="9">
        <f>(G33-(5/2))/(5/2)</f>
        <v>1</v>
      </c>
      <c r="K33" s="9">
        <v>1</v>
      </c>
      <c r="L33" s="15"/>
    </row>
    <row r="34" spans="1:12" ht="70.5" x14ac:dyDescent="0.25">
      <c r="A34" s="11" t="s">
        <v>39</v>
      </c>
      <c r="B34" s="9">
        <v>4</v>
      </c>
      <c r="C34" s="9">
        <v>4</v>
      </c>
      <c r="D34" s="9">
        <v>4</v>
      </c>
      <c r="E34" s="9">
        <v>4</v>
      </c>
      <c r="F34" s="9">
        <v>4</v>
      </c>
      <c r="G34" s="9">
        <v>5</v>
      </c>
      <c r="H34" s="9">
        <f t="shared" ref="H34:H35" si="8">(G34-(5/2))/(5/2)</f>
        <v>1</v>
      </c>
      <c r="K34" s="9">
        <v>1</v>
      </c>
      <c r="L34" s="15"/>
    </row>
    <row r="35" spans="1:12" ht="43.5" x14ac:dyDescent="0.25">
      <c r="A35" s="7" t="s">
        <v>40</v>
      </c>
      <c r="B35" s="9">
        <v>4</v>
      </c>
      <c r="C35" s="9">
        <v>4</v>
      </c>
      <c r="D35" s="9">
        <v>4</v>
      </c>
      <c r="E35" s="9">
        <v>4</v>
      </c>
      <c r="F35" s="9">
        <v>4</v>
      </c>
      <c r="G35" s="9">
        <v>5</v>
      </c>
      <c r="H35" s="9">
        <f t="shared" si="8"/>
        <v>1</v>
      </c>
      <c r="I35" s="12" t="s">
        <v>11</v>
      </c>
      <c r="K35" s="9">
        <v>1</v>
      </c>
      <c r="L35" s="19" t="s">
        <v>43</v>
      </c>
    </row>
    <row r="36" spans="1:12" ht="56.25" x14ac:dyDescent="0.25">
      <c r="A36" s="7" t="s">
        <v>41</v>
      </c>
      <c r="B36" s="9">
        <v>4</v>
      </c>
      <c r="C36" s="9">
        <v>4</v>
      </c>
      <c r="D36" s="9">
        <v>4</v>
      </c>
      <c r="E36" s="9">
        <v>4</v>
      </c>
      <c r="F36" s="9">
        <v>4</v>
      </c>
      <c r="G36" s="9">
        <v>5</v>
      </c>
      <c r="H36" s="9">
        <f>(G36-(5/2))/(5/2)</f>
        <v>1</v>
      </c>
      <c r="I36" s="9">
        <f>AVERAGE(H27:H36)</f>
        <v>1</v>
      </c>
      <c r="K36" s="9">
        <v>1</v>
      </c>
      <c r="L36" s="18">
        <f>AVERAGE(K27:K36)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Khate Pontay</dc:creator>
  <cp:lastModifiedBy>Khate Pontay</cp:lastModifiedBy>
  <dcterms:created xsi:type="dcterms:W3CDTF">2026-03-02T01:18:46Z</dcterms:created>
  <dcterms:modified xsi:type="dcterms:W3CDTF">2026-04-25T06:41:11Z</dcterms:modified>
</cp:coreProperties>
</file>